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b5db364804c2609/Desktop/"/>
    </mc:Choice>
  </mc:AlternateContent>
  <xr:revisionPtr revIDLastSave="19" documentId="8_{D34914FB-705C-4610-89EA-975D6C908AEE}" xr6:coauthVersionLast="47" xr6:coauthVersionMax="47" xr10:uidLastSave="{9840A9A0-4CA3-410A-B1F1-82E742D83F5B}"/>
  <bookViews>
    <workbookView xWindow="-120" yWindow="-120" windowWidth="20730" windowHeight="11160" activeTab="1" xr2:uid="{2990FBC1-FDD2-4908-B075-49EBF2A0DD34}"/>
  </bookViews>
  <sheets>
    <sheet name="Sheet2" sheetId="2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1" l="1"/>
  <c r="C22" i="1"/>
  <c r="C21" i="1"/>
  <c r="B22" i="1"/>
  <c r="B17" i="1"/>
  <c r="I7" i="1"/>
  <c r="H9" i="1"/>
  <c r="I9" i="1" s="1"/>
  <c r="H8" i="1"/>
  <c r="I8" i="1" s="1"/>
  <c r="H7" i="1"/>
  <c r="H6" i="1"/>
  <c r="I6" i="1" s="1"/>
  <c r="H5" i="1"/>
  <c r="I5" i="1" s="1"/>
  <c r="H4" i="1"/>
  <c r="I4" i="1" s="1"/>
  <c r="G9" i="1"/>
  <c r="G8" i="1"/>
  <c r="G7" i="1"/>
  <c r="B23" i="1" s="1"/>
  <c r="G6" i="1"/>
  <c r="G5" i="1"/>
  <c r="G4" i="1"/>
  <c r="B13" i="1" s="1"/>
  <c r="B15" i="1" l="1"/>
  <c r="B14" i="1"/>
  <c r="B21" i="1"/>
  <c r="B16" i="1"/>
  <c r="B27" i="1" a="1"/>
  <c r="B2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<sst xmlns="http://schemas.openxmlformats.org/spreadsheetml/2006/main" count="67" uniqueCount="44">
  <si>
    <t xml:space="preserve">Section 1  : Company Data </t>
  </si>
  <si>
    <t>Company Builder Report</t>
  </si>
  <si>
    <t xml:space="preserve">Emp ID </t>
  </si>
  <si>
    <t xml:space="preserve">Employee Name </t>
  </si>
  <si>
    <t>Department</t>
  </si>
  <si>
    <t>Jan Sales</t>
  </si>
  <si>
    <t xml:space="preserve">Feb Sales </t>
  </si>
  <si>
    <t>Mar Sales</t>
  </si>
  <si>
    <t>Total Sales</t>
  </si>
  <si>
    <t>Average Sales</t>
  </si>
  <si>
    <t>Bonus</t>
  </si>
  <si>
    <t>E01</t>
  </si>
  <si>
    <t>E02</t>
  </si>
  <si>
    <t>E03</t>
  </si>
  <si>
    <t>E04</t>
  </si>
  <si>
    <t>E05</t>
  </si>
  <si>
    <t>E06</t>
  </si>
  <si>
    <t>Ali Khan</t>
  </si>
  <si>
    <t>Sara khan</t>
  </si>
  <si>
    <t>Bilal Hussain</t>
  </si>
  <si>
    <t xml:space="preserve">Ayesha Noor </t>
  </si>
  <si>
    <t>Hamza Ali</t>
  </si>
  <si>
    <t xml:space="preserve">Hina Malik </t>
  </si>
  <si>
    <t>Sales</t>
  </si>
  <si>
    <t>Marketing</t>
  </si>
  <si>
    <t>HR</t>
  </si>
  <si>
    <t>Section 2 : Company Summary</t>
  </si>
  <si>
    <t>Description</t>
  </si>
  <si>
    <t xml:space="preserve">Result </t>
  </si>
  <si>
    <t>Highest Sales</t>
  </si>
  <si>
    <t xml:space="preserve">Lowest Sales </t>
  </si>
  <si>
    <t xml:space="preserve">Total Employee </t>
  </si>
  <si>
    <t>Section 3 : Department Summary</t>
  </si>
  <si>
    <t>Employee Count</t>
  </si>
  <si>
    <t xml:space="preserve">HR </t>
  </si>
  <si>
    <t>xlookup</t>
  </si>
  <si>
    <t>Row Labels</t>
  </si>
  <si>
    <t>Grand Total</t>
  </si>
  <si>
    <t>Sum of Total Sales</t>
  </si>
  <si>
    <t>Sum of Average Sales</t>
  </si>
  <si>
    <t>(All)</t>
  </si>
  <si>
    <t>Column Labels</t>
  </si>
  <si>
    <t>Total Sum of Total Sales</t>
  </si>
  <si>
    <t>Total Sum of Average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</si>
</sst>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2" borderId="1" applyNumberFormat="0" applyAlignment="0" applyProtection="0"/>
    <xf numFmtId="0" fontId="3" fillId="3" borderId="2" applyNumberFormat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3" borderId="2" xfId="3" applyAlignment="1">
      <alignment horizontal="center"/>
    </xf>
    <xf numFmtId="0" fontId="2" fillId="2" borderId="1" xfId="2" applyAlignment="1">
      <alignment horizontal="center"/>
    </xf>
    <xf numFmtId="0" fontId="1" fillId="0" borderId="0" xfId="1" applyAlignment="1">
      <alignment horizontal="center"/>
    </xf>
    <xf numFmtId="0" fontId="3" fillId="3" borderId="2" xfId="3" applyAlignment="1">
      <alignment horizontal="center"/>
    </xf>
    <xf numFmtId="0" fontId="2" fillId="2" borderId="1" xfId="2" applyAlignment="1">
      <alignment horizontal="center"/>
    </xf>
    <xf numFmtId="0" fontId="2" fillId="2" borderId="1" xfId="2"/>
    <xf numFmtId="0" fontId="4" fillId="3" borderId="2" xfId="3" applyFont="1" applyAlignment="1">
      <alignment horizontal="center"/>
    </xf>
  </cellXfs>
  <cellStyles count="4">
    <cellStyle name="Check Cell" xfId="3" builtinId="23"/>
    <cellStyle name="Heading 4" xfId="1" builtinId="19"/>
    <cellStyle name="Normal" xfId="0" builtinId="0"/>
    <cellStyle name="Output" xfId="2" builtinId="2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[building Report.xlsx]Sheet2!PivotTable1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Sheet2!$B$4:$B$6</c:f>
              <c:strCache>
                <c:ptCount val="1"/>
                <c:pt idx="0">
                  <c:v>Sum of Total Sales - 7233.33333333333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Sheet2!$A$7:$A$10</c:f>
              <c:strCache>
                <c:ptCount val="3"/>
                <c:pt idx="0">
                  <c:v>HR</c:v>
                </c:pt>
                <c:pt idx="1">
                  <c:v>Marketing</c:v>
                </c:pt>
                <c:pt idx="2">
                  <c:v>Sales</c:v>
                </c:pt>
              </c:strCache>
            </c:strRef>
          </c:cat>
          <c:val>
            <c:numRef>
              <c:f>Sheet2!$B$7:$B$10</c:f>
              <c:numCache>
                <c:formatCode>General</c:formatCode>
                <c:ptCount val="3"/>
                <c:pt idx="0">
                  <c:v>217000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FA-4A0C-8C0E-69DD6DA71C23}"/>
            </c:ext>
          </c:extLst>
        </c:ser>
        <c:ser>
          <c:idx val="1"/>
          <c:order val="1"/>
          <c:tx>
            <c:strRef>
              <c:f>Sheet2!$C$4:$C$6</c:f>
              <c:strCache>
                <c:ptCount val="1"/>
                <c:pt idx="0">
                  <c:v>Sum of Total Sales - 10333.3333333333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Sheet2!$A$7:$A$10</c:f>
              <c:strCache>
                <c:ptCount val="3"/>
                <c:pt idx="0">
                  <c:v>HR</c:v>
                </c:pt>
                <c:pt idx="1">
                  <c:v>Marketing</c:v>
                </c:pt>
                <c:pt idx="2">
                  <c:v>Sales</c:v>
                </c:pt>
              </c:strCache>
            </c:strRef>
          </c:cat>
          <c:val>
            <c:numRef>
              <c:f>Sheet2!$C$7:$C$10</c:f>
              <c:numCache>
                <c:formatCode>General</c:formatCode>
                <c:ptCount val="3"/>
                <c:pt idx="1">
                  <c:v>310000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FA-4A0C-8C0E-69DD6DA71C23}"/>
            </c:ext>
          </c:extLst>
        </c:ser>
        <c:ser>
          <c:idx val="2"/>
          <c:order val="2"/>
          <c:tx>
            <c:strRef>
              <c:f>Sheet2!$D$4:$D$6</c:f>
              <c:strCache>
                <c:ptCount val="1"/>
                <c:pt idx="0">
                  <c:v>Sum of Total Sales - 10433.3333333333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Sheet2!$A$7:$A$10</c:f>
              <c:strCache>
                <c:ptCount val="3"/>
                <c:pt idx="0">
                  <c:v>HR</c:v>
                </c:pt>
                <c:pt idx="1">
                  <c:v>Marketing</c:v>
                </c:pt>
                <c:pt idx="2">
                  <c:v>Sales</c:v>
                </c:pt>
              </c:strCache>
            </c:strRef>
          </c:cat>
          <c:val>
            <c:numRef>
              <c:f>Sheet2!$D$7:$D$10</c:f>
              <c:numCache>
                <c:formatCode>General</c:formatCode>
                <c:ptCount val="3"/>
                <c:pt idx="1">
                  <c:v>313000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CFA-4A0C-8C0E-69DD6DA71C23}"/>
            </c:ext>
          </c:extLst>
        </c:ser>
        <c:ser>
          <c:idx val="3"/>
          <c:order val="3"/>
          <c:tx>
            <c:strRef>
              <c:f>Sheet2!$E$4:$E$6</c:f>
              <c:strCache>
                <c:ptCount val="1"/>
                <c:pt idx="0">
                  <c:v>Sum of Total Sales - 11766.6666666667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Sheet2!$A$7:$A$10</c:f>
              <c:strCache>
                <c:ptCount val="3"/>
                <c:pt idx="0">
                  <c:v>HR</c:v>
                </c:pt>
                <c:pt idx="1">
                  <c:v>Marketing</c:v>
                </c:pt>
                <c:pt idx="2">
                  <c:v>Sales</c:v>
                </c:pt>
              </c:strCache>
            </c:strRef>
          </c:cat>
          <c:val>
            <c:numRef>
              <c:f>Sheet2!$E$7:$E$10</c:f>
              <c:numCache>
                <c:formatCode>General</c:formatCode>
                <c:ptCount val="3"/>
                <c:pt idx="2">
                  <c:v>353000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CFA-4A0C-8C0E-69DD6DA71C23}"/>
            </c:ext>
          </c:extLst>
        </c:ser>
        <c:ser>
          <c:idx val="4"/>
          <c:order val="4"/>
          <c:tx>
            <c:strRef>
              <c:f>Sheet2!$F$4:$F$6</c:f>
              <c:strCache>
                <c:ptCount val="1"/>
                <c:pt idx="0">
                  <c:v>Sum of Total Sales - 12633.3333333333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Sheet2!$A$7:$A$10</c:f>
              <c:strCache>
                <c:ptCount val="3"/>
                <c:pt idx="0">
                  <c:v>HR</c:v>
                </c:pt>
                <c:pt idx="1">
                  <c:v>Marketing</c:v>
                </c:pt>
                <c:pt idx="2">
                  <c:v>Sales</c:v>
                </c:pt>
              </c:strCache>
            </c:strRef>
          </c:cat>
          <c:val>
            <c:numRef>
              <c:f>Sheet2!$F$7:$F$10</c:f>
              <c:numCache>
                <c:formatCode>General</c:formatCode>
                <c:ptCount val="3"/>
                <c:pt idx="2">
                  <c:v>379000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CFA-4A0C-8C0E-69DD6DA71C23}"/>
            </c:ext>
          </c:extLst>
        </c:ser>
        <c:ser>
          <c:idx val="5"/>
          <c:order val="5"/>
          <c:tx>
            <c:strRef>
              <c:f>Sheet2!$G$4:$G$6</c:f>
              <c:strCache>
                <c:ptCount val="1"/>
                <c:pt idx="0">
                  <c:v>Sum of Total Sales - 12766.6666666667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Sheet2!$A$7:$A$10</c:f>
              <c:strCache>
                <c:ptCount val="3"/>
                <c:pt idx="0">
                  <c:v>HR</c:v>
                </c:pt>
                <c:pt idx="1">
                  <c:v>Marketing</c:v>
                </c:pt>
                <c:pt idx="2">
                  <c:v>Sales</c:v>
                </c:pt>
              </c:strCache>
            </c:strRef>
          </c:cat>
          <c:val>
            <c:numRef>
              <c:f>Sheet2!$G$7:$G$10</c:f>
              <c:numCache>
                <c:formatCode>General</c:formatCode>
                <c:ptCount val="3"/>
                <c:pt idx="2">
                  <c:v>383000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CFA-4A0C-8C0E-69DD6DA71C23}"/>
            </c:ext>
          </c:extLst>
        </c:ser>
        <c:ser>
          <c:idx val="6"/>
          <c:order val="6"/>
          <c:tx>
            <c:strRef>
              <c:f>Sheet2!$H$4:$H$6</c:f>
              <c:strCache>
                <c:ptCount val="1"/>
                <c:pt idx="0">
                  <c:v>Sum of Average Sales - 7233.33333333333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Sheet2!$A$7:$A$10</c:f>
              <c:strCache>
                <c:ptCount val="3"/>
                <c:pt idx="0">
                  <c:v>HR</c:v>
                </c:pt>
                <c:pt idx="1">
                  <c:v>Marketing</c:v>
                </c:pt>
                <c:pt idx="2">
                  <c:v>Sales</c:v>
                </c:pt>
              </c:strCache>
            </c:strRef>
          </c:cat>
          <c:val>
            <c:numRef>
              <c:f>Sheet2!$H$7:$H$10</c:f>
              <c:numCache>
                <c:formatCode>General</c:formatCode>
                <c:ptCount val="3"/>
                <c:pt idx="0">
                  <c:v>72333.333333333328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CFA-4A0C-8C0E-69DD6DA71C23}"/>
            </c:ext>
          </c:extLst>
        </c:ser>
        <c:ser>
          <c:idx val="7"/>
          <c:order val="7"/>
          <c:tx>
            <c:strRef>
              <c:f>Sheet2!$I$4:$I$6</c:f>
              <c:strCache>
                <c:ptCount val="1"/>
                <c:pt idx="0">
                  <c:v>Sum of Average Sales - 10333.3333333333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Sheet2!$A$7:$A$10</c:f>
              <c:strCache>
                <c:ptCount val="3"/>
                <c:pt idx="0">
                  <c:v>HR</c:v>
                </c:pt>
                <c:pt idx="1">
                  <c:v>Marketing</c:v>
                </c:pt>
                <c:pt idx="2">
                  <c:v>Sales</c:v>
                </c:pt>
              </c:strCache>
            </c:strRef>
          </c:cat>
          <c:val>
            <c:numRef>
              <c:f>Sheet2!$I$7:$I$10</c:f>
              <c:numCache>
                <c:formatCode>General</c:formatCode>
                <c:ptCount val="3"/>
                <c:pt idx="1">
                  <c:v>103333.33333333333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CFA-4A0C-8C0E-69DD6DA71C23}"/>
            </c:ext>
          </c:extLst>
        </c:ser>
        <c:ser>
          <c:idx val="8"/>
          <c:order val="8"/>
          <c:tx>
            <c:strRef>
              <c:f>Sheet2!$J$4:$J$6</c:f>
              <c:strCache>
                <c:ptCount val="1"/>
                <c:pt idx="0">
                  <c:v>Sum of Average Sales - 10433.3333333333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Sheet2!$A$7:$A$10</c:f>
              <c:strCache>
                <c:ptCount val="3"/>
                <c:pt idx="0">
                  <c:v>HR</c:v>
                </c:pt>
                <c:pt idx="1">
                  <c:v>Marketing</c:v>
                </c:pt>
                <c:pt idx="2">
                  <c:v>Sales</c:v>
                </c:pt>
              </c:strCache>
            </c:strRef>
          </c:cat>
          <c:val>
            <c:numRef>
              <c:f>Sheet2!$J$7:$J$10</c:f>
              <c:numCache>
                <c:formatCode>General</c:formatCode>
                <c:ptCount val="3"/>
                <c:pt idx="1">
                  <c:v>104333.33333333333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CFA-4A0C-8C0E-69DD6DA71C23}"/>
            </c:ext>
          </c:extLst>
        </c:ser>
        <c:ser>
          <c:idx val="9"/>
          <c:order val="9"/>
          <c:tx>
            <c:strRef>
              <c:f>Sheet2!$K$4:$K$6</c:f>
              <c:strCache>
                <c:ptCount val="1"/>
                <c:pt idx="0">
                  <c:v>Sum of Average Sales - 11766.6666666667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Sheet2!$A$7:$A$10</c:f>
              <c:strCache>
                <c:ptCount val="3"/>
                <c:pt idx="0">
                  <c:v>HR</c:v>
                </c:pt>
                <c:pt idx="1">
                  <c:v>Marketing</c:v>
                </c:pt>
                <c:pt idx="2">
                  <c:v>Sales</c:v>
                </c:pt>
              </c:strCache>
            </c:strRef>
          </c:cat>
          <c:val>
            <c:numRef>
              <c:f>Sheet2!$K$7:$K$10</c:f>
              <c:numCache>
                <c:formatCode>General</c:formatCode>
                <c:ptCount val="3"/>
                <c:pt idx="2">
                  <c:v>117666.66666666667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CFA-4A0C-8C0E-69DD6DA71C23}"/>
            </c:ext>
          </c:extLst>
        </c:ser>
        <c:ser>
          <c:idx val="10"/>
          <c:order val="10"/>
          <c:tx>
            <c:strRef>
              <c:f>Sheet2!$L$4:$L$6</c:f>
              <c:strCache>
                <c:ptCount val="1"/>
                <c:pt idx="0">
                  <c:v>Sum of Average Sales - 12633.3333333333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Sheet2!$A$7:$A$10</c:f>
              <c:strCache>
                <c:ptCount val="3"/>
                <c:pt idx="0">
                  <c:v>HR</c:v>
                </c:pt>
                <c:pt idx="1">
                  <c:v>Marketing</c:v>
                </c:pt>
                <c:pt idx="2">
                  <c:v>Sales</c:v>
                </c:pt>
              </c:strCache>
            </c:strRef>
          </c:cat>
          <c:val>
            <c:numRef>
              <c:f>Sheet2!$L$7:$L$10</c:f>
              <c:numCache>
                <c:formatCode>General</c:formatCode>
                <c:ptCount val="3"/>
                <c:pt idx="2">
                  <c:v>126333.33333333333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CFA-4A0C-8C0E-69DD6DA71C23}"/>
            </c:ext>
          </c:extLst>
        </c:ser>
        <c:ser>
          <c:idx val="11"/>
          <c:order val="11"/>
          <c:tx>
            <c:strRef>
              <c:f>Sheet2!$M$4:$M$6</c:f>
              <c:strCache>
                <c:ptCount val="1"/>
                <c:pt idx="0">
                  <c:v>Sum of Average Sales - 12766.6666666667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Sheet2!$A$7:$A$10</c:f>
              <c:strCache>
                <c:ptCount val="3"/>
                <c:pt idx="0">
                  <c:v>HR</c:v>
                </c:pt>
                <c:pt idx="1">
                  <c:v>Marketing</c:v>
                </c:pt>
                <c:pt idx="2">
                  <c:v>Sales</c:v>
                </c:pt>
              </c:strCache>
            </c:strRef>
          </c:cat>
          <c:val>
            <c:numRef>
              <c:f>Sheet2!$M$7:$M$10</c:f>
              <c:numCache>
                <c:formatCode>General</c:formatCode>
                <c:ptCount val="3"/>
                <c:pt idx="2">
                  <c:v>127666.66666666667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CFA-4A0C-8C0E-69DD6DA71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987215"/>
        <c:axId val="1354987631"/>
      </c:barChart>
      <c:catAx>
        <c:axId val="135498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987631"/>
        <c:crosses val="autoZero"/>
        <c:auto val="1"/>
        <c:lblAlgn val="ctr"/>
        <c:lblOffset val="100"/>
        <c:noMultiLvlLbl val="0"/>
      </c:catAx>
      <c:valAx>
        <c:axId val="135498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987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4</xdr:row>
      <xdr:rowOff>109537</xdr:rowOff>
    </xdr:from>
    <xdr:to>
      <xdr:col>6</xdr:col>
      <xdr:colOff>771525</xdr:colOff>
      <xdr:row>18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8E7B34-C2F9-42F3-A334-74398EFE33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ryal fatima" refreshedDate="46052.006848495374" createdVersion="7" refreshedVersion="7" minRefreshableVersion="3" recordCount="6" xr:uid="{47BF80EF-95EE-4684-A92D-2A6A51A200F6}">
  <cacheSource type="worksheet">
    <worksheetSource ref="A3:I9" sheet="Sheet1"/>
  </cacheSource>
  <cacheFields count="9">
    <cacheField name="Emp ID " numFmtId="0">
      <sharedItems/>
    </cacheField>
    <cacheField name="Employee Name " numFmtId="0">
      <sharedItems count="6">
        <s v="Ali Khan"/>
        <s v="Sara khan"/>
        <s v="Bilal Hussain"/>
        <s v="Ayesha Noor "/>
        <s v="Hamza Ali"/>
        <s v="Hina Malik "/>
      </sharedItems>
    </cacheField>
    <cacheField name="Department" numFmtId="0">
      <sharedItems count="3">
        <s v="Sales"/>
        <s v="Marketing"/>
        <s v="HR"/>
      </sharedItems>
    </cacheField>
    <cacheField name="Jan Sales" numFmtId="0">
      <sharedItems containsSemiMixedTypes="0" containsString="0" containsNumber="1" containsInteger="1" minValue="70000" maxValue="125000"/>
    </cacheField>
    <cacheField name="Feb Sales " numFmtId="0">
      <sharedItems containsSemiMixedTypes="0" containsString="0" containsNumber="1" containsInteger="1" minValue="72000" maxValue="135000"/>
    </cacheField>
    <cacheField name="Mar Sales" numFmtId="0">
      <sharedItems containsSemiMixedTypes="0" containsString="0" containsNumber="1" containsInteger="1" minValue="75000" maxValue="128000"/>
    </cacheField>
    <cacheField name="Total Sales" numFmtId="0">
      <sharedItems containsSemiMixedTypes="0" containsString="0" containsNumber="1" containsInteger="1" minValue="217000" maxValue="383000"/>
    </cacheField>
    <cacheField name="Average Sales" numFmtId="0">
      <sharedItems containsSemiMixedTypes="0" containsString="0" containsNumber="1" minValue="72333.333333333328" maxValue="127666.66666666667"/>
    </cacheField>
    <cacheField name="Bonus" numFmtId="0">
      <sharedItems containsSemiMixedTypes="0" containsString="0" containsNumber="1" minValue="7233.333333333333" maxValue="12766.666666666668" count="6">
        <n v="12766.666666666668"/>
        <n v="10433.333333333334"/>
        <n v="11766.666666666668"/>
        <n v="7233.333333333333"/>
        <n v="10333.333333333334"/>
        <n v="12633.33333333333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E01"/>
    <x v="0"/>
    <x v="0"/>
    <n v="120000"/>
    <n v="135000"/>
    <n v="128000"/>
    <n v="383000"/>
    <n v="127666.66666666667"/>
    <x v="0"/>
  </r>
  <r>
    <s v="E02"/>
    <x v="1"/>
    <x v="1"/>
    <n v="98000"/>
    <n v="105000"/>
    <n v="110000"/>
    <n v="313000"/>
    <n v="104333.33333333333"/>
    <x v="1"/>
  </r>
  <r>
    <s v="E03"/>
    <x v="2"/>
    <x v="0"/>
    <n v="115000"/>
    <n v="120000"/>
    <n v="118000"/>
    <n v="353000"/>
    <n v="117666.66666666667"/>
    <x v="2"/>
  </r>
  <r>
    <s v="E04"/>
    <x v="3"/>
    <x v="2"/>
    <n v="70000"/>
    <n v="72000"/>
    <n v="75000"/>
    <n v="217000"/>
    <n v="72333.333333333328"/>
    <x v="3"/>
  </r>
  <r>
    <s v="E05"/>
    <x v="4"/>
    <x v="1"/>
    <n v="102000"/>
    <n v="104000"/>
    <n v="104000"/>
    <n v="310000"/>
    <n v="103333.33333333333"/>
    <x v="4"/>
  </r>
  <r>
    <s v="E06"/>
    <x v="5"/>
    <x v="0"/>
    <n v="125000"/>
    <n v="127000"/>
    <n v="127000"/>
    <n v="379000"/>
    <n v="126333.33333333333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91BD99-F97B-487E-B81F-B7F40AED831B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4:O10" firstHeaderRow="1" firstDataRow="3" firstDataCol="1" rowPageCount="1" colPageCount="1"/>
  <pivotFields count="9">
    <pivotField showAll="0"/>
    <pivotField axis="axisPage" showAll="0">
      <items count="7">
        <item x="0"/>
        <item x="3"/>
        <item x="2"/>
        <item x="4"/>
        <item x="5"/>
        <item x="1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dataField="1" showAll="0"/>
    <pivotField axis="axisCol" showAll="0">
      <items count="7">
        <item x="3"/>
        <item x="4"/>
        <item x="1"/>
        <item x="2"/>
        <item x="5"/>
        <item x="0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2">
    <field x="-2"/>
    <field x="8"/>
  </colFields>
  <colItems count="14">
    <i>
      <x/>
      <x/>
    </i>
    <i r="1">
      <x v="1"/>
    </i>
    <i r="1">
      <x v="2"/>
    </i>
    <i r="1">
      <x v="3"/>
    </i>
    <i r="1">
      <x v="4"/>
    </i>
    <i r="1">
      <x v="5"/>
    </i>
    <i i="1">
      <x v="1"/>
      <x/>
    </i>
    <i r="1" i="1">
      <x v="1"/>
    </i>
    <i r="1" i="1">
      <x v="2"/>
    </i>
    <i r="1" i="1">
      <x v="3"/>
    </i>
    <i r="1" i="1">
      <x v="4"/>
    </i>
    <i r="1" i="1">
      <x v="5"/>
    </i>
    <i t="grand">
      <x/>
    </i>
    <i t="grand" i="1">
      <x/>
    </i>
  </colItems>
  <pageFields count="1">
    <pageField fld="1" hier="-1"/>
  </pageFields>
  <dataFields count="2">
    <dataField name="Sum of Total Sales" fld="6" baseField="0" baseItem="0"/>
    <dataField name="Sum of Average Sales" fld="7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5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4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16128-5B72-415D-902D-3C7FD88A68A1}">
  <dimension ref="A2:O10"/>
  <sheetViews>
    <sheetView workbookViewId="0">
      <selection activeCell="H15" sqref="H15"/>
    </sheetView>
  </sheetViews>
  <sheetFormatPr defaultRowHeight="15" x14ac:dyDescent="0.25"/>
  <cols>
    <col min="1" max="1" width="16.140625" bestFit="1" customWidth="1"/>
    <col min="2" max="2" width="17.28515625" bestFit="1" customWidth="1"/>
    <col min="3" max="7" width="12" bestFit="1" customWidth="1"/>
    <col min="8" max="8" width="20.140625" bestFit="1" customWidth="1"/>
    <col min="9" max="13" width="12" bestFit="1" customWidth="1"/>
    <col min="14" max="14" width="22.28515625" bestFit="1" customWidth="1"/>
    <col min="15" max="15" width="25.140625" bestFit="1" customWidth="1"/>
  </cols>
  <sheetData>
    <row r="2" spans="1:15" x14ac:dyDescent="0.25">
      <c r="A2" s="2" t="s">
        <v>3</v>
      </c>
      <c r="B2" t="s">
        <v>40</v>
      </c>
    </row>
    <row r="4" spans="1:15" x14ac:dyDescent="0.25">
      <c r="B4" s="2" t="s">
        <v>41</v>
      </c>
    </row>
    <row r="5" spans="1:15" x14ac:dyDescent="0.25">
      <c r="B5" t="s">
        <v>38</v>
      </c>
      <c r="H5" t="s">
        <v>39</v>
      </c>
      <c r="N5" t="s">
        <v>42</v>
      </c>
      <c r="O5" t="s">
        <v>43</v>
      </c>
    </row>
    <row r="6" spans="1:15" x14ac:dyDescent="0.25">
      <c r="A6" s="2" t="s">
        <v>36</v>
      </c>
      <c r="B6">
        <v>7233.333333333333</v>
      </c>
      <c r="C6">
        <v>10333.333333333334</v>
      </c>
      <c r="D6">
        <v>10433.333333333334</v>
      </c>
      <c r="E6">
        <v>11766.666666666668</v>
      </c>
      <c r="F6">
        <v>12633.333333333334</v>
      </c>
      <c r="G6">
        <v>12766.666666666668</v>
      </c>
      <c r="H6">
        <v>7233.333333333333</v>
      </c>
      <c r="I6">
        <v>10333.333333333334</v>
      </c>
      <c r="J6">
        <v>10433.333333333334</v>
      </c>
      <c r="K6">
        <v>11766.666666666668</v>
      </c>
      <c r="L6">
        <v>12633.333333333334</v>
      </c>
      <c r="M6">
        <v>12766.666666666668</v>
      </c>
    </row>
    <row r="7" spans="1:15" x14ac:dyDescent="0.25">
      <c r="A7" s="3" t="s">
        <v>25</v>
      </c>
      <c r="B7" s="4">
        <v>217000</v>
      </c>
      <c r="C7" s="4"/>
      <c r="D7" s="4"/>
      <c r="E7" s="4"/>
      <c r="F7" s="4"/>
      <c r="G7" s="4"/>
      <c r="H7" s="4">
        <v>72333.333333333328</v>
      </c>
      <c r="I7" s="4"/>
      <c r="J7" s="4"/>
      <c r="K7" s="4"/>
      <c r="L7" s="4"/>
      <c r="M7" s="4"/>
      <c r="N7" s="4">
        <v>217000</v>
      </c>
      <c r="O7" s="4">
        <v>72333.333333333328</v>
      </c>
    </row>
    <row r="8" spans="1:15" x14ac:dyDescent="0.25">
      <c r="A8" s="3" t="s">
        <v>24</v>
      </c>
      <c r="B8" s="4"/>
      <c r="C8" s="4">
        <v>310000</v>
      </c>
      <c r="D8" s="4">
        <v>313000</v>
      </c>
      <c r="E8" s="4"/>
      <c r="F8" s="4"/>
      <c r="G8" s="4"/>
      <c r="H8" s="4"/>
      <c r="I8" s="4">
        <v>103333.33333333333</v>
      </c>
      <c r="J8" s="4">
        <v>104333.33333333333</v>
      </c>
      <c r="K8" s="4"/>
      <c r="L8" s="4"/>
      <c r="M8" s="4"/>
      <c r="N8" s="4">
        <v>623000</v>
      </c>
      <c r="O8" s="4">
        <v>207666.66666666666</v>
      </c>
    </row>
    <row r="9" spans="1:15" x14ac:dyDescent="0.25">
      <c r="A9" s="3" t="s">
        <v>23</v>
      </c>
      <c r="B9" s="4"/>
      <c r="C9" s="4"/>
      <c r="D9" s="4"/>
      <c r="E9" s="4">
        <v>353000</v>
      </c>
      <c r="F9" s="4">
        <v>379000</v>
      </c>
      <c r="G9" s="4">
        <v>383000</v>
      </c>
      <c r="H9" s="4"/>
      <c r="I9" s="4"/>
      <c r="J9" s="4"/>
      <c r="K9" s="4">
        <v>117666.66666666667</v>
      </c>
      <c r="L9" s="4">
        <v>126333.33333333333</v>
      </c>
      <c r="M9" s="4">
        <v>127666.66666666667</v>
      </c>
      <c r="N9" s="4">
        <v>1115000</v>
      </c>
      <c r="O9" s="4">
        <v>371666.66666666669</v>
      </c>
    </row>
    <row r="10" spans="1:15" x14ac:dyDescent="0.25">
      <c r="A10" s="3" t="s">
        <v>37</v>
      </c>
      <c r="B10" s="4">
        <v>217000</v>
      </c>
      <c r="C10" s="4">
        <v>310000</v>
      </c>
      <c r="D10" s="4">
        <v>313000</v>
      </c>
      <c r="E10" s="4">
        <v>353000</v>
      </c>
      <c r="F10" s="4">
        <v>379000</v>
      </c>
      <c r="G10" s="4">
        <v>383000</v>
      </c>
      <c r="H10" s="4">
        <v>72333.333333333328</v>
      </c>
      <c r="I10" s="4">
        <v>103333.33333333333</v>
      </c>
      <c r="J10" s="4">
        <v>104333.33333333333</v>
      </c>
      <c r="K10" s="4">
        <v>117666.66666666667</v>
      </c>
      <c r="L10" s="4">
        <v>126333.33333333333</v>
      </c>
      <c r="M10" s="4">
        <v>127666.66666666667</v>
      </c>
      <c r="N10" s="4">
        <v>1955000</v>
      </c>
      <c r="O10" s="4">
        <v>651666.66666666674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F208A-D621-430F-8E3F-CC91632D5D96}">
  <dimension ref="A1:I27"/>
  <sheetViews>
    <sheetView tabSelected="1" workbookViewId="0">
      <selection activeCell="N10" sqref="N10"/>
    </sheetView>
  </sheetViews>
  <sheetFormatPr defaultRowHeight="15" x14ac:dyDescent="0.25"/>
  <cols>
    <col min="1" max="1" width="14.7109375" customWidth="1"/>
    <col min="2" max="2" width="17.140625" customWidth="1"/>
    <col min="3" max="3" width="15.42578125" customWidth="1"/>
    <col min="4" max="4" width="11.5703125" customWidth="1"/>
    <col min="5" max="5" width="12.85546875" customWidth="1"/>
    <col min="6" max="6" width="11.140625" customWidth="1"/>
    <col min="7" max="7" width="13" customWidth="1"/>
    <col min="8" max="8" width="15" customWidth="1"/>
    <col min="9" max="9" width="12" customWidth="1"/>
    <col min="13" max="13" width="11" customWidth="1"/>
  </cols>
  <sheetData>
    <row r="1" spans="1:9" ht="22.5" thickTop="1" thickBot="1" x14ac:dyDescent="0.4">
      <c r="A1" s="11" t="s">
        <v>1</v>
      </c>
      <c r="B1" s="11"/>
      <c r="C1" s="11"/>
      <c r="D1" s="11"/>
      <c r="E1" s="11"/>
      <c r="F1" s="11"/>
      <c r="G1" s="11"/>
      <c r="H1" s="11"/>
      <c r="I1" s="11"/>
    </row>
    <row r="2" spans="1:9" ht="15.75" thickTop="1" x14ac:dyDescent="0.25">
      <c r="A2" s="6" t="s">
        <v>0</v>
      </c>
      <c r="B2" s="6"/>
      <c r="C2" s="6"/>
      <c r="D2" s="6"/>
      <c r="E2" s="6"/>
      <c r="F2" s="6"/>
      <c r="G2" s="6"/>
      <c r="H2" s="6"/>
      <c r="I2" s="6"/>
    </row>
    <row r="3" spans="1:9" x14ac:dyDescent="0.25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</row>
    <row r="4" spans="1:9" x14ac:dyDescent="0.25">
      <c r="A4" s="9" t="s">
        <v>11</v>
      </c>
      <c r="B4" s="9" t="s">
        <v>17</v>
      </c>
      <c r="C4" s="9" t="s">
        <v>23</v>
      </c>
      <c r="D4" s="10">
        <v>120000</v>
      </c>
      <c r="E4" s="10">
        <v>135000</v>
      </c>
      <c r="F4" s="10">
        <v>128000</v>
      </c>
      <c r="G4" s="10">
        <f t="shared" ref="G4:G9" si="0">SUM(D4:F4)</f>
        <v>383000</v>
      </c>
      <c r="H4" s="10">
        <f t="shared" ref="H4:H9" si="1">AVERAGE(D4:F4)</f>
        <v>127666.66666666667</v>
      </c>
      <c r="I4" s="10">
        <f>IF(H4&gt;=120000,H4*10%,IF(H4&gt;=100000,H4*5%,0))</f>
        <v>12766.666666666668</v>
      </c>
    </row>
    <row r="5" spans="1:9" x14ac:dyDescent="0.25">
      <c r="A5" s="9" t="s">
        <v>12</v>
      </c>
      <c r="B5" s="9" t="s">
        <v>18</v>
      </c>
      <c r="C5" s="9" t="s">
        <v>24</v>
      </c>
      <c r="D5" s="10">
        <v>98000</v>
      </c>
      <c r="E5" s="10">
        <v>105000</v>
      </c>
      <c r="F5" s="10">
        <v>110000</v>
      </c>
      <c r="G5" s="10">
        <f t="shared" si="0"/>
        <v>313000</v>
      </c>
      <c r="H5" s="10">
        <f t="shared" si="1"/>
        <v>104333.33333333333</v>
      </c>
      <c r="I5" s="10">
        <f>IF(H5&gt;=98000,H5*10%,IF(H5&gt;=100000,H5*5%,0))</f>
        <v>10433.333333333334</v>
      </c>
    </row>
    <row r="6" spans="1:9" x14ac:dyDescent="0.25">
      <c r="A6" s="9" t="s">
        <v>13</v>
      </c>
      <c r="B6" s="9" t="s">
        <v>19</v>
      </c>
      <c r="C6" s="9" t="s">
        <v>23</v>
      </c>
      <c r="D6" s="10">
        <v>115000</v>
      </c>
      <c r="E6" s="10">
        <v>120000</v>
      </c>
      <c r="F6" s="10">
        <v>118000</v>
      </c>
      <c r="G6" s="10">
        <f t="shared" si="0"/>
        <v>353000</v>
      </c>
      <c r="H6" s="10">
        <f t="shared" si="1"/>
        <v>117666.66666666667</v>
      </c>
      <c r="I6" s="10">
        <f>IF(H6&gt;=115000,H6*10%,IF(H6&gt;=100000,H6*5%,0))</f>
        <v>11766.666666666668</v>
      </c>
    </row>
    <row r="7" spans="1:9" x14ac:dyDescent="0.25">
      <c r="A7" s="9" t="s">
        <v>14</v>
      </c>
      <c r="B7" s="9" t="s">
        <v>20</v>
      </c>
      <c r="C7" s="9" t="s">
        <v>25</v>
      </c>
      <c r="D7" s="10">
        <v>70000</v>
      </c>
      <c r="E7" s="10">
        <v>72000</v>
      </c>
      <c r="F7" s="10">
        <v>75000</v>
      </c>
      <c r="G7" s="10">
        <f t="shared" si="0"/>
        <v>217000</v>
      </c>
      <c r="H7" s="10">
        <f t="shared" si="1"/>
        <v>72333.333333333328</v>
      </c>
      <c r="I7" s="10">
        <f>IF(H7&gt;=70000,H7*10%,IF(H7&gt;=100000,H7*5%,0))</f>
        <v>7233.333333333333</v>
      </c>
    </row>
    <row r="8" spans="1:9" x14ac:dyDescent="0.25">
      <c r="A8" s="9" t="s">
        <v>15</v>
      </c>
      <c r="B8" s="9" t="s">
        <v>21</v>
      </c>
      <c r="C8" s="9" t="s">
        <v>24</v>
      </c>
      <c r="D8" s="10">
        <v>102000</v>
      </c>
      <c r="E8" s="10">
        <v>104000</v>
      </c>
      <c r="F8" s="10">
        <v>104000</v>
      </c>
      <c r="G8" s="10">
        <f t="shared" si="0"/>
        <v>310000</v>
      </c>
      <c r="H8" s="10">
        <f t="shared" si="1"/>
        <v>103333.33333333333</v>
      </c>
      <c r="I8" s="10">
        <f>IF(H8&gt;=102000,H8*10%,IF(H8&gt;=100000,H8*5%,0))</f>
        <v>10333.333333333334</v>
      </c>
    </row>
    <row r="9" spans="1:9" x14ac:dyDescent="0.25">
      <c r="A9" s="9" t="s">
        <v>16</v>
      </c>
      <c r="B9" s="9" t="s">
        <v>22</v>
      </c>
      <c r="C9" s="9" t="s">
        <v>23</v>
      </c>
      <c r="D9" s="10">
        <v>125000</v>
      </c>
      <c r="E9" s="10">
        <v>127000</v>
      </c>
      <c r="F9" s="10">
        <v>127000</v>
      </c>
      <c r="G9" s="10">
        <f t="shared" si="0"/>
        <v>379000</v>
      </c>
      <c r="H9" s="10">
        <f t="shared" si="1"/>
        <v>126333.33333333333</v>
      </c>
      <c r="I9" s="10">
        <f>IF(H9&gt;=125000,H9*10%,IF(H9&gt;=100000,H9*5%,0))</f>
        <v>12633.333333333334</v>
      </c>
    </row>
    <row r="10" spans="1:9" ht="15.75" thickBot="1" x14ac:dyDescent="0.3"/>
    <row r="11" spans="1:9" ht="16.5" thickTop="1" thickBot="1" x14ac:dyDescent="0.3">
      <c r="A11" s="5" t="s">
        <v>26</v>
      </c>
      <c r="B11" s="5"/>
      <c r="C11" s="5"/>
      <c r="D11" s="5"/>
      <c r="E11" s="5"/>
      <c r="F11" s="5"/>
      <c r="G11" s="5"/>
      <c r="H11" s="5"/>
      <c r="I11" s="5"/>
    </row>
    <row r="12" spans="1:9" ht="15.75" thickTop="1" x14ac:dyDescent="0.25">
      <c r="A12" s="7" t="s">
        <v>27</v>
      </c>
      <c r="B12" s="7" t="s">
        <v>28</v>
      </c>
    </row>
    <row r="13" spans="1:9" x14ac:dyDescent="0.25">
      <c r="A13" s="9" t="s">
        <v>8</v>
      </c>
      <c r="B13" s="10">
        <f>SUM(G4:G9)</f>
        <v>1955000</v>
      </c>
    </row>
    <row r="14" spans="1:9" x14ac:dyDescent="0.25">
      <c r="A14" s="9" t="s">
        <v>9</v>
      </c>
      <c r="B14" s="10">
        <f>AVERAGE(G4:G9)</f>
        <v>325833.33333333331</v>
      </c>
    </row>
    <row r="15" spans="1:9" x14ac:dyDescent="0.25">
      <c r="A15" s="9" t="s">
        <v>29</v>
      </c>
      <c r="B15" s="10">
        <f>MAX(G4:G9)</f>
        <v>383000</v>
      </c>
    </row>
    <row r="16" spans="1:9" x14ac:dyDescent="0.25">
      <c r="A16" s="9" t="s">
        <v>30</v>
      </c>
      <c r="B16" s="10">
        <f>MIN(G4:G9)</f>
        <v>217000</v>
      </c>
    </row>
    <row r="17" spans="1:9" x14ac:dyDescent="0.25">
      <c r="A17" s="9" t="s">
        <v>31</v>
      </c>
      <c r="B17" s="10">
        <f>COUNTA(B4:B9)</f>
        <v>6</v>
      </c>
    </row>
    <row r="18" spans="1:9" ht="15.75" thickBot="1" x14ac:dyDescent="0.3"/>
    <row r="19" spans="1:9" ht="16.5" thickTop="1" thickBot="1" x14ac:dyDescent="0.3">
      <c r="A19" s="5" t="s">
        <v>32</v>
      </c>
      <c r="B19" s="5"/>
      <c r="C19" s="5"/>
      <c r="D19" s="5"/>
      <c r="E19" s="5"/>
      <c r="F19" s="5"/>
      <c r="G19" s="5"/>
      <c r="H19" s="5"/>
      <c r="I19" s="5"/>
    </row>
    <row r="20" spans="1:9" ht="15.75" thickTop="1" x14ac:dyDescent="0.25">
      <c r="A20" s="7" t="s">
        <v>4</v>
      </c>
      <c r="B20" s="7" t="s">
        <v>8</v>
      </c>
      <c r="C20" s="7" t="s">
        <v>33</v>
      </c>
    </row>
    <row r="21" spans="1:9" x14ac:dyDescent="0.25">
      <c r="A21" s="9" t="s">
        <v>23</v>
      </c>
      <c r="B21" s="10">
        <f>SUMIF(C4:C9,"Sales",G4:G9)</f>
        <v>1115000</v>
      </c>
      <c r="C21" s="10">
        <f>COUNTIF(C4:C9,"sales")</f>
        <v>3</v>
      </c>
    </row>
    <row r="22" spans="1:9" x14ac:dyDescent="0.25">
      <c r="A22" s="9" t="s">
        <v>24</v>
      </c>
      <c r="B22" s="10">
        <f>SUMIF(C4:C9,"maketing",G4:G9)</f>
        <v>0</v>
      </c>
      <c r="C22" s="10">
        <f>COUNTIF(C4:C9,"Marketing")</f>
        <v>2</v>
      </c>
    </row>
    <row r="23" spans="1:9" x14ac:dyDescent="0.25">
      <c r="A23" s="9" t="s">
        <v>34</v>
      </c>
      <c r="B23" s="10">
        <f>SUMIF(C4:C9,"HR",G4:G9)</f>
        <v>217000</v>
      </c>
      <c r="C23" s="10">
        <f>COUNTIF(C4:C9,"HR")</f>
        <v>1</v>
      </c>
    </row>
    <row r="25" spans="1:9" ht="15.75" thickBot="1" x14ac:dyDescent="0.3">
      <c r="A25" s="1" t="s">
        <v>35</v>
      </c>
    </row>
    <row r="26" spans="1:9" ht="16.5" thickTop="1" thickBot="1" x14ac:dyDescent="0.3">
      <c r="A26" s="8" t="s">
        <v>2</v>
      </c>
      <c r="B26" s="8" t="s">
        <v>3</v>
      </c>
      <c r="C26" s="8" t="s">
        <v>4</v>
      </c>
      <c r="D26" s="8" t="s">
        <v>5</v>
      </c>
      <c r="E26" s="8" t="s">
        <v>6</v>
      </c>
      <c r="F26" s="8" t="s">
        <v>7</v>
      </c>
      <c r="G26" s="8" t="s">
        <v>8</v>
      </c>
      <c r="H26" s="8" t="s">
        <v>9</v>
      </c>
      <c r="I26" s="8" t="s">
        <v>10</v>
      </c>
    </row>
    <row r="27" spans="1:9" ht="15.75" thickTop="1" x14ac:dyDescent="0.25">
      <c r="A27" s="9" t="s">
        <v>11</v>
      </c>
      <c r="B27" s="10" t="str" cm="1">
        <f t="array" ref="B27:I27">_xlfn.XLOOKUP(A27,A3:A9,B3:I9)</f>
        <v>Ali Khan</v>
      </c>
      <c r="C27" s="10" t="str">
        <v>Sales</v>
      </c>
      <c r="D27" s="10">
        <v>120000</v>
      </c>
      <c r="E27" s="10">
        <v>135000</v>
      </c>
      <c r="F27" s="10">
        <v>128000</v>
      </c>
      <c r="G27" s="10">
        <v>383000</v>
      </c>
      <c r="H27" s="10">
        <v>127666.66666666667</v>
      </c>
      <c r="I27" s="10">
        <v>12766.666666666668</v>
      </c>
    </row>
  </sheetData>
  <mergeCells count="4">
    <mergeCell ref="A1:I1"/>
    <mergeCell ref="A2:I2"/>
    <mergeCell ref="A11:I11"/>
    <mergeCell ref="A19:I19"/>
  </mergeCells>
  <conditionalFormatting sqref="I4:I9">
    <cfRule type="cellIs" dxfId="2" priority="3" operator="greaterThan">
      <formula>10000</formula>
    </cfRule>
  </conditionalFormatting>
  <conditionalFormatting sqref="I7">
    <cfRule type="cellIs" dxfId="1" priority="1" operator="lessThan">
      <formula>10000</formula>
    </cfRule>
    <cfRule type="cellIs" dxfId="0" priority="2" operator="lessThan">
      <formula>7233.333333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faryal fatima</dc:creator>
  <cp:lastModifiedBy>faryal fatima</cp:lastModifiedBy>
  <dcterms:created xsi:type="dcterms:W3CDTF">2026-01-29T17:56:45Z</dcterms:created>
  <dcterms:modified xsi:type="dcterms:W3CDTF">2026-01-29T19:24:39Z</dcterms:modified>
</cp:coreProperties>
</file>